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4161968F-407C-4676-809F-FFB1BDCA43CA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APP" sheetId="1" r:id="rId1"/>
    <sheet name="dados" sheetId="2" r:id="rId2"/>
  </sheets>
  <definedNames>
    <definedName name="aporte">APP!$D$18:$D$18</definedName>
    <definedName name="investimento">APP!$C$35:$C$35</definedName>
    <definedName name="patrimonio">APP!$D$21:$D$21</definedName>
    <definedName name="qtd_anos">APP!$D$19:$D$19</definedName>
    <definedName name="rendimento_carteira">APP!$D$14:$D$14</definedName>
    <definedName name="salario">APP!#REF!</definedName>
    <definedName name="salrio">APP!#REF!</definedName>
    <definedName name="sujestao_investimento">APP!#REF!</definedName>
    <definedName name="taxa_mensal">APP!$D$20:$D$20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A10" i="2"/>
  <c r="A9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5" i="1" a="1"/>
  <c r="C35" i="1"/>
  <c r="C27" i="1" a="1"/>
  <c r="C27" i="1"/>
  <c r="C28" i="1" a="1"/>
  <c r="C28" i="1"/>
  <c r="C29" i="1" a="1"/>
  <c r="C29" i="1"/>
  <c r="C30" i="1" a="1"/>
  <c r="C30" i="1"/>
  <c r="C26" i="1" a="1"/>
  <c r="C26" i="1"/>
  <c r="D26" i="1" s="1" a="1"/>
  <c r="D26" i="1" s="1"/>
  <c r="D30" i="1" a="1"/>
  <c r="D30" i="1" s="1"/>
  <c r="D29" i="1" a="1"/>
  <c r="D29" i="1" s="1"/>
  <c r="D28" i="1" a="1"/>
  <c r="D28" i="1" s="1"/>
  <c r="D27" i="1" a="1"/>
  <c r="D27" i="1" s="1"/>
  <c r="D21" i="1" a="1"/>
  <c r="D21" i="1" s="1"/>
  <c r="D22" i="1" s="1" a="1"/>
  <c r="D22" i="1" s="1"/>
  <c r="D15" i="1"/>
  <c r="D38" i="1" l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<sst xmlns="http://schemas.openxmlformats.org/spreadsheetml/2006/main" count="69" uniqueCount="33">
  <si>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</si>
  <si>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Sálario</t>
  </si>
  <si>
    <t>Rendimento Carteira</t>
  </si>
  <si>
    <t>Sugestão de investimento(30%)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</si>
  <si>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</si>
  <si>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</si>
  <si>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</si>
  <si>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</si>
  <si>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</si>
  <si>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</si>
  <si>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</si>
  <si>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</si>
  <si>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</si>
  <si>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</si>
  <si>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</si>
  <si>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</si>
  <si>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</si>
  <si>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</si>
  <si>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</si>
  <si>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</si>
  <si>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</si>
  <si>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</si>
  <si>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</si>
  <si>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 xml:space="preserve">PAPEL 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</si>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</sst>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>
    <font>
      <sz val="11"/>
      <color theme="1"/>
      <name val="Calibri"/>
      <family val="2"/>
      <scheme val="minor"/>
    </font>
    <font>
      <sz val="20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scheme val="minor"/>
    </font>
    <font>
      <sz val="18"/>
      <color rgb="FFFFFFFF"/>
      <name val="Calibri"/>
      <scheme val="minor"/>
    </font>
    <font>
      <sz val="12"/>
      <color theme="1"/>
      <name val="Aptos Display"/>
    </font>
    <font>
      <b/>
      <sz val="12"/>
      <color theme="1"/>
      <name val="Aptos Display"/>
    </font>
    <font>
      <sz val="11"/>
      <color rgb="FF9C5700"/>
      <name val="Calibri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medium">
        <color rgb="FF00000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0000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0000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/>
      <top style="thin">
        <color theme="0" tint="-0.14999847407452621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theme="0" tint="-0.14999847407452621"/>
      </bottom>
      <diagonal/>
    </border>
    <border>
      <left/>
      <right/>
      <top style="thin">
        <color rgb="FF000000"/>
      </top>
      <bottom style="medium">
        <color theme="0" tint="-0.1499984740745262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000000"/>
      </right>
      <top style="medium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14999847407452621"/>
      </top>
      <bottom style="thin">
        <color rgb="FF000000"/>
      </bottom>
      <diagonal/>
    </border>
    <border>
      <left style="thin">
        <color theme="0" tint="-0.14999847407452621"/>
      </left>
      <right style="thin">
        <color rgb="FF000000"/>
      </right>
      <top style="medium">
        <color theme="0" tint="-0.1499984740745262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000000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rgb="FF000000"/>
      </right>
      <top style="thin">
        <color theme="0" tint="-0.14999847407452621"/>
      </top>
      <bottom/>
      <diagonal/>
    </border>
  </borders>
  <cellStyleXfs count="2">
    <xf numFmtId="0" fontId="0" fillId="0" borderId="0"/>
    <xf numFmtId="0" fontId="8" fillId="6" borderId="0" applyNumberFormat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0" fillId="5" borderId="0" xfId="0" applyFill="1"/>
    <xf numFmtId="10" fontId="0" fillId="0" borderId="11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8" fontId="2" fillId="3" borderId="11" xfId="0" applyNumberFormat="1" applyFont="1" applyFill="1" applyBorder="1" applyAlignment="1">
      <alignment horizontal="center"/>
    </xf>
    <xf numFmtId="8" fontId="2" fillId="3" borderId="12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8" fontId="6" fillId="3" borderId="2" xfId="0" applyNumberFormat="1" applyFont="1" applyFill="1" applyBorder="1" applyAlignment="1">
      <alignment horizontal="center" vertical="center"/>
    </xf>
    <xf numFmtId="8" fontId="6" fillId="3" borderId="27" xfId="0" applyNumberFormat="1" applyFont="1" applyFill="1" applyBorder="1" applyAlignment="1">
      <alignment horizontal="center" vertical="center"/>
    </xf>
    <xf numFmtId="8" fontId="0" fillId="3" borderId="24" xfId="0" applyNumberFormat="1" applyFill="1" applyBorder="1" applyAlignment="1">
      <alignment horizontal="center" vertical="center"/>
    </xf>
    <xf numFmtId="8" fontId="0" fillId="3" borderId="28" xfId="0" applyNumberFormat="1" applyFill="1" applyBorder="1" applyAlignment="1">
      <alignment horizontal="center" vertical="center"/>
    </xf>
    <xf numFmtId="0" fontId="0" fillId="0" borderId="0" xfId="0" applyFill="1"/>
    <xf numFmtId="0" fontId="2" fillId="0" borderId="11" xfId="0" applyFon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 vertical="center"/>
    </xf>
    <xf numFmtId="0" fontId="8" fillId="6" borderId="0" xfId="1" applyAlignment="1">
      <alignment horizontal="center"/>
    </xf>
    <xf numFmtId="0" fontId="8" fillId="6" borderId="0" xfId="1" applyAlignment="1">
      <alignment horizontal="center" vertical="center"/>
    </xf>
    <xf numFmtId="0" fontId="8" fillId="6" borderId="0" xfId="1" applyAlignment="1">
      <alignment vertical="center"/>
    </xf>
    <xf numFmtId="0" fontId="6" fillId="3" borderId="16" xfId="0" applyFont="1" applyFill="1" applyBorder="1" applyAlignment="1">
      <alignment horizontal="left" indent="3"/>
    </xf>
    <xf numFmtId="0" fontId="6" fillId="3" borderId="17" xfId="0" applyFont="1" applyFill="1" applyBorder="1" applyAlignment="1">
      <alignment horizontal="left" indent="3"/>
    </xf>
    <xf numFmtId="0" fontId="6" fillId="3" borderId="18" xfId="0" applyFont="1" applyFill="1" applyBorder="1" applyAlignment="1">
      <alignment horizontal="left" indent="3"/>
    </xf>
    <xf numFmtId="0" fontId="6" fillId="3" borderId="13" xfId="0" applyFont="1" applyFill="1" applyBorder="1" applyAlignment="1">
      <alignment horizontal="left" indent="3"/>
    </xf>
    <xf numFmtId="0" fontId="6" fillId="3" borderId="19" xfId="0" applyFont="1" applyFill="1" applyBorder="1" applyAlignment="1">
      <alignment horizontal="left" indent="3"/>
    </xf>
    <xf numFmtId="0" fontId="6" fillId="3" borderId="14" xfId="0" applyFont="1" applyFill="1" applyBorder="1" applyAlignment="1">
      <alignment horizontal="left" indent="3"/>
    </xf>
    <xf numFmtId="0" fontId="6" fillId="3" borderId="9" xfId="0" applyFont="1" applyFill="1" applyBorder="1" applyAlignment="1">
      <alignment horizontal="left" vertical="center" indent="3"/>
    </xf>
    <xf numFmtId="0" fontId="6" fillId="3" borderId="15" xfId="0" applyFont="1" applyFill="1" applyBorder="1" applyAlignment="1">
      <alignment horizontal="left" vertical="center" indent="3"/>
    </xf>
    <xf numFmtId="0" fontId="6" fillId="3" borderId="6" xfId="0" applyFont="1" applyFill="1" applyBorder="1" applyAlignment="1">
      <alignment horizontal="left" indent="3"/>
    </xf>
    <xf numFmtId="0" fontId="6" fillId="3" borderId="1" xfId="0" applyFont="1" applyFill="1" applyBorder="1" applyAlignment="1">
      <alignment horizontal="left" indent="3"/>
    </xf>
    <xf numFmtId="0" fontId="7" fillId="3" borderId="6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7" fillId="3" borderId="8" xfId="0" applyFont="1" applyFill="1" applyBorder="1" applyAlignment="1">
      <alignment horizontal="left" indent="3"/>
    </xf>
    <xf numFmtId="0" fontId="6" fillId="3" borderId="23" xfId="0" applyFont="1" applyFill="1" applyBorder="1" applyAlignment="1">
      <alignment horizontal="left" vertical="center" indent="3"/>
    </xf>
    <xf numFmtId="0" fontId="6" fillId="3" borderId="25" xfId="0" applyFont="1" applyFill="1" applyBorder="1" applyAlignment="1">
      <alignment horizontal="left" vertical="center" indent="3"/>
    </xf>
    <xf numFmtId="0" fontId="6" fillId="3" borderId="26" xfId="0" applyFont="1" applyFill="1" applyBorder="1" applyAlignment="1">
      <alignment horizontal="left" vertical="center" indent="3"/>
    </xf>
    <xf numFmtId="0" fontId="0" fillId="0" borderId="0" xfId="0" applyAlignment="1">
      <alignment horizontal="center"/>
    </xf>
    <xf numFmtId="164" fontId="0" fillId="3" borderId="0" xfId="0" applyNumberFormat="1" applyFill="1" applyAlignment="1">
      <alignment vertical="center"/>
    </xf>
    <xf numFmtId="9" fontId="0" fillId="0" borderId="0" xfId="0" applyNumberFormat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30" xfId="0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29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32" xfId="0" applyFont="1" applyFill="1" applyBorder="1"/>
    <xf numFmtId="0" fontId="2" fillId="7" borderId="30" xfId="0" applyFont="1" applyFill="1" applyBorder="1"/>
    <xf numFmtId="164" fontId="2" fillId="7" borderId="33" xfId="0" applyNumberFormat="1" applyFont="1" applyFill="1" applyBorder="1"/>
    <xf numFmtId="0" fontId="0" fillId="3" borderId="34" xfId="0" applyFill="1" applyBorder="1" applyAlignment="1">
      <alignment horizontal="left" indent="2"/>
    </xf>
    <xf numFmtId="9" fontId="0" fillId="3" borderId="15" xfId="0" applyNumberFormat="1" applyFill="1" applyBorder="1" applyAlignment="1">
      <alignment horizontal="center"/>
    </xf>
    <xf numFmtId="164" fontId="0" fillId="3" borderId="35" xfId="0" applyNumberFormat="1" applyFill="1" applyBorder="1" applyAlignment="1">
      <alignment horizontal="center"/>
    </xf>
    <xf numFmtId="0" fontId="0" fillId="3" borderId="25" xfId="0" applyFill="1" applyBorder="1" applyAlignment="1">
      <alignment horizontal="left" indent="2"/>
    </xf>
    <xf numFmtId="9" fontId="0" fillId="3" borderId="1" xfId="0" applyNumberFormat="1" applyFill="1" applyBorder="1" applyAlignment="1">
      <alignment horizontal="center"/>
    </xf>
    <xf numFmtId="164" fontId="0" fillId="3" borderId="36" xfId="0" applyNumberFormat="1" applyFill="1" applyBorder="1" applyAlignment="1">
      <alignment horizontal="center"/>
    </xf>
    <xf numFmtId="0" fontId="0" fillId="3" borderId="37" xfId="0" applyFill="1" applyBorder="1" applyAlignment="1">
      <alignment horizontal="left" indent="2"/>
    </xf>
    <xf numFmtId="9" fontId="0" fillId="3" borderId="38" xfId="0" applyNumberFormat="1" applyFill="1" applyBorder="1" applyAlignment="1">
      <alignment horizontal="center"/>
    </xf>
    <xf numFmtId="164" fontId="0" fillId="3" borderId="39" xfId="0" applyNumberForma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 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4-4F5A-B847-AFDA6876F1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57150</xdr:rowOff>
    </xdr:from>
    <xdr:to>
      <xdr:col>3</xdr:col>
      <xdr:colOff>457200</xdr:colOff>
      <xdr:row>7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3A734E-09B7-91CD-94BA-02602F14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690" b="10078"/>
        <a:stretch>
          <a:fillRect/>
        </a:stretch>
      </xdr:blipFill>
      <xdr:spPr>
        <a:xfrm>
          <a:off x="4419600" y="57150"/>
          <a:ext cx="3086100" cy="1314450"/>
        </a:xfrm>
        <a:prstGeom prst="rect">
          <a:avLst/>
        </a:prstGeom>
      </xdr:spPr>
    </xdr:pic>
    <xdr:clientData/>
  </xdr:twoCellAnchor>
  <xdr:twoCellAnchor>
    <xdr:from>
      <xdr:col>1</xdr:col>
      <xdr:colOff>2838450</xdr:colOff>
      <xdr:row>45</xdr:row>
      <xdr:rowOff>85725</xdr:rowOff>
    </xdr:from>
    <xdr:to>
      <xdr:col>3</xdr:col>
      <xdr:colOff>1714500</xdr:colOff>
      <xdr:row>61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4E4A48-7A87-C7D2-0B82-3C20576BD3CF}"/>
            </a:ext>
            <a:ext uri="{147F2762-F138-4A5C-976F-8EAC2B608ADB}">
              <a16:predDERef xmlns:a16="http://schemas.microsoft.com/office/drawing/2014/main" pred="{C33A734E-09B7-91CD-94BA-02602F148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H44"/>
  <sheetViews>
    <sheetView showGridLines="0" topLeftCell="A29" workbookViewId="0">
      <selection activeCell="D55" sqref="D55"/>
    </sheetView>
  </sheetViews>
  <sheetFormatPr defaultColWidth="0" defaultRowHeight="15"/>
  <cols>
    <col min="1" max="1" width="9.140625" customWidth="1"/>
    <col min="2" max="3" width="48.28515625" customWidth="1"/>
    <col min="4" max="4" width="55.28515625" customWidth="1"/>
    <col min="5" max="5" width="3.5703125" customWidth="1"/>
    <col min="6" max="6" width="4.85546875" customWidth="1"/>
    <col min="7" max="7" width="2.85546875" customWidth="1"/>
    <col min="8" max="8" width="4.7109375" customWidth="1"/>
  </cols>
  <sheetData>
    <row r="9" spans="1:8">
      <c r="A9" s="2"/>
      <c r="B9" s="2"/>
      <c r="C9" s="2"/>
      <c r="D9" s="2"/>
      <c r="E9" s="22"/>
      <c r="F9" s="22"/>
      <c r="G9" s="22"/>
      <c r="H9" s="22"/>
    </row>
    <row r="12" spans="1:8" ht="23.25">
      <c r="B12" s="9" t="s">
        <v>0</v>
      </c>
      <c r="C12" s="10"/>
      <c r="D12" s="11"/>
    </row>
    <row r="13" spans="1:8" ht="15.75">
      <c r="B13" s="28" t="s">
        <v>1</v>
      </c>
      <c r="C13" s="29"/>
      <c r="D13" s="4">
        <v>2000</v>
      </c>
    </row>
    <row r="14" spans="1:8" ht="15.75">
      <c r="B14" s="30" t="s">
        <v>2</v>
      </c>
      <c r="C14" s="31"/>
      <c r="D14" s="3">
        <v>6.0000000000000001E-3</v>
      </c>
    </row>
    <row r="15" spans="1:8" ht="15.75">
      <c r="B15" s="32" t="s">
        <v>3</v>
      </c>
      <c r="C15" s="33"/>
      <c r="D15" s="24">
        <f>D13*30%</f>
        <v>600</v>
      </c>
    </row>
    <row r="17" spans="1:4" ht="26.25">
      <c r="B17" s="12" t="s">
        <v>4</v>
      </c>
      <c r="C17" s="13"/>
      <c r="D17" s="14"/>
    </row>
    <row r="18" spans="1:4" ht="15" customHeight="1">
      <c r="A18" s="1">
        <v>2</v>
      </c>
      <c r="B18" s="34" t="s">
        <v>5</v>
      </c>
      <c r="C18" s="35"/>
      <c r="D18" s="5">
        <v>200</v>
      </c>
    </row>
    <row r="19" spans="1:4" ht="15" customHeight="1">
      <c r="A19" s="1">
        <v>5</v>
      </c>
      <c r="B19" s="36" t="s">
        <v>6</v>
      </c>
      <c r="C19" s="37"/>
      <c r="D19" s="23">
        <v>5</v>
      </c>
    </row>
    <row r="20" spans="1:4" ht="15" customHeight="1">
      <c r="A20" s="1">
        <v>10</v>
      </c>
      <c r="B20" s="36" t="s">
        <v>7</v>
      </c>
      <c r="C20" s="37"/>
      <c r="D20" s="6">
        <v>1.0789999999999999E-2</v>
      </c>
    </row>
    <row r="21" spans="1:4" ht="15" customHeight="1">
      <c r="A21" s="1">
        <v>20</v>
      </c>
      <c r="B21" s="38" t="s">
        <v>8</v>
      </c>
      <c r="C21" s="39"/>
      <c r="D21" s="7" cm="1">
        <f t="array" ref="D21">FV(taxa_mensal,qtd_anos*12,aporte*-1)</f>
        <v>16755.382799697527</v>
      </c>
    </row>
    <row r="22" spans="1:4" ht="15" customHeight="1">
      <c r="A22" s="1">
        <v>30</v>
      </c>
      <c r="B22" s="40" t="s">
        <v>9</v>
      </c>
      <c r="C22" s="41"/>
      <c r="D22" s="8" cm="1">
        <f t="array" ref="D22">patrimonio*rendimento_carteira</f>
        <v>100.53229679818516</v>
      </c>
    </row>
    <row r="25" spans="1:4" ht="26.25">
      <c r="B25" s="15" t="s">
        <v>10</v>
      </c>
      <c r="C25" s="16"/>
      <c r="D25" s="17" t="s">
        <v>11</v>
      </c>
    </row>
    <row r="26" spans="1:4" ht="15.75">
      <c r="B26" s="42" t="s">
        <v>12</v>
      </c>
      <c r="C26" s="18" cm="1">
        <f t="array" ref="C26">FV(taxa_mensal,$A18*12,aporte*-1)</f>
        <v>5445.5254595290435</v>
      </c>
      <c r="D26" s="20" cm="1">
        <f t="array" ref="D26">C26*rendimento_carteira</f>
        <v>32.673152757174265</v>
      </c>
    </row>
    <row r="27" spans="1:4" ht="15.75">
      <c r="B27" s="43" t="s">
        <v>13</v>
      </c>
      <c r="C27" s="18" cm="1">
        <f t="array" ref="C27">FV(taxa_mensal,$A19*12,aporte*-1)</f>
        <v>16755.382799697527</v>
      </c>
      <c r="D27" s="20" cm="1">
        <f t="array" ref="D27">C27*rendimento_carteira</f>
        <v>100.53229679818516</v>
      </c>
    </row>
    <row r="28" spans="1:4" ht="15.75">
      <c r="B28" s="43" t="s">
        <v>14</v>
      </c>
      <c r="C28" s="18" cm="1">
        <f t="array" ref="C28">FV(taxa_mensal,$A20*12,aporte*-1)</f>
        <v>48656.842506034438</v>
      </c>
      <c r="D28" s="20" cm="1">
        <f t="array" ref="D28">C28*rendimento_carteira</f>
        <v>291.94105503620665</v>
      </c>
    </row>
    <row r="29" spans="1:4" ht="15.75">
      <c r="B29" s="43" t="s">
        <v>15</v>
      </c>
      <c r="C29" s="18" cm="1">
        <f t="array" ref="C29">FV(taxa_mensal,$A21*12,aporte*-1)</f>
        <v>225039.68001941612</v>
      </c>
      <c r="D29" s="20" cm="1">
        <f t="array" ref="D29">C29*rendimento_carteira</f>
        <v>1350.2380801164968</v>
      </c>
    </row>
    <row r="30" spans="1:4" ht="15.75">
      <c r="B30" s="44" t="s">
        <v>16</v>
      </c>
      <c r="C30" s="19" cm="1">
        <f t="array" ref="C30">FV(taxa_mensal,$A22*12,aporte*-1)</f>
        <v>864433.93100094295</v>
      </c>
      <c r="D30" s="21" cm="1">
        <f t="array" ref="D30">C30*rendimento_carteira</f>
        <v>5186.6035860056581</v>
      </c>
    </row>
    <row r="34" spans="2:4">
      <c r="B34" s="25" t="s">
        <v>17</v>
      </c>
      <c r="C34" s="26" t="s">
        <v>18</v>
      </c>
      <c r="D34" s="27"/>
    </row>
    <row r="35" spans="2:4">
      <c r="B35" s="48" t="s">
        <v>19</v>
      </c>
      <c r="C35" s="49" cm="1">
        <f t="array" ref="C35">aporte</f>
        <v>200</v>
      </c>
      <c r="D35" s="46"/>
    </row>
    <row r="37" spans="2:4">
      <c r="B37" s="55" t="s">
        <v>20</v>
      </c>
      <c r="C37" s="56" t="s">
        <v>21</v>
      </c>
      <c r="D37" s="57" t="s">
        <v>22</v>
      </c>
    </row>
    <row r="38" spans="2:4">
      <c r="B38" s="61" t="s">
        <v>23</v>
      </c>
      <c r="C38" s="62">
        <f>VLOOKUP($C$34&amp;"-"&amp;B38,dados!$A:$D,4,FALSE)</f>
        <v>0.32</v>
      </c>
      <c r="D38" s="63" cm="1">
        <f t="array" ref="D38">C38*investimento</f>
        <v>64</v>
      </c>
    </row>
    <row r="39" spans="2:4">
      <c r="B39" s="64" t="s">
        <v>24</v>
      </c>
      <c r="C39" s="65">
        <f>VLOOKUP($C$34&amp;"-"&amp;B39,dados!$A:$D,4,FALSE)</f>
        <v>0.35</v>
      </c>
      <c r="D39" s="66" cm="1">
        <f t="array" ref="D39">C39*investimento</f>
        <v>70</v>
      </c>
    </row>
    <row r="40" spans="2:4">
      <c r="B40" s="64" t="s">
        <v>25</v>
      </c>
      <c r="C40" s="65">
        <f>VLOOKUP($C$34&amp;"-"&amp;B40,dados!$A:$D,4,FALSE)</f>
        <v>0.08</v>
      </c>
      <c r="D40" s="66" cm="1">
        <f t="array" ref="D40">C40*investimento</f>
        <v>16</v>
      </c>
    </row>
    <row r="41" spans="2:4">
      <c r="B41" s="64" t="s">
        <v>26</v>
      </c>
      <c r="C41" s="65">
        <f>VLOOKUP($C$34&amp;"-"&amp;B41,dados!$A:$D,4,FALSE)</f>
        <v>0.05</v>
      </c>
      <c r="D41" s="66" cm="1">
        <f t="array" ref="D41">C41*investimento</f>
        <v>10</v>
      </c>
    </row>
    <row r="42" spans="2:4">
      <c r="B42" s="64" t="s">
        <v>27</v>
      </c>
      <c r="C42" s="65">
        <f>VLOOKUP($C$34&amp;"-"&amp;B42,dados!$A:$D,4,FALSE)</f>
        <v>0.1</v>
      </c>
      <c r="D42" s="66" cm="1">
        <f t="array" ref="D42">C42*investimento</f>
        <v>20</v>
      </c>
    </row>
    <row r="43" spans="2:4">
      <c r="B43" s="67" t="s">
        <v>28</v>
      </c>
      <c r="C43" s="68">
        <f>VLOOKUP($C$34&amp;"-"&amp;B43,dados!$A:$D,4,FALSE)</f>
        <v>0.1</v>
      </c>
      <c r="D43" s="69" cm="1">
        <f t="array" ref="D43">C43*investimento</f>
        <v>20</v>
      </c>
    </row>
    <row r="44" spans="2:4">
      <c r="B44" s="58"/>
      <c r="C44" s="59"/>
      <c r="D44" s="60">
        <f>D38+D39+D40+D41+D43+D42</f>
        <v>200</v>
      </c>
    </row>
  </sheetData>
  <mergeCells count="11">
    <mergeCell ref="B22:C22"/>
    <mergeCell ref="B17:D17"/>
    <mergeCell ref="B25:C25"/>
    <mergeCell ref="B13:C13"/>
    <mergeCell ref="B14:C14"/>
    <mergeCell ref="B15:C15"/>
    <mergeCell ref="B12:D12"/>
    <mergeCell ref="B18:C18"/>
    <mergeCell ref="B19:C19"/>
    <mergeCell ref="B20:C20"/>
    <mergeCell ref="B21:C21"/>
  </mergeCells>
  <dataValidations count="1">
    <dataValidation type="list" allowBlank="1" showInputMessage="1" showErrorMessage="1" sqref="C34" xr:uid="{8A0280BE-7478-43C2-9C0B-F07344B93986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C785-1E9A-4C0A-864A-B0A0A3631939}">
  <dimension ref="A2:E20"/>
  <sheetViews>
    <sheetView tabSelected="1" workbookViewId="0">
      <selection activeCell="A2" sqref="A2:D2"/>
    </sheetView>
  </sheetViews>
  <sheetFormatPr defaultRowHeight="15"/>
  <cols>
    <col min="1" max="1" width="35.5703125" style="45" customWidth="1"/>
    <col min="2" max="2" width="19.28515625" style="45" bestFit="1" customWidth="1"/>
    <col min="3" max="3" width="19.28515625" bestFit="1" customWidth="1"/>
    <col min="4" max="4" width="9.140625" style="45"/>
    <col min="6" max="6" width="17.140625" bestFit="1" customWidth="1"/>
  </cols>
  <sheetData>
    <row r="2" spans="1:5">
      <c r="A2" s="70" t="s">
        <v>29</v>
      </c>
      <c r="B2" s="71" t="s">
        <v>17</v>
      </c>
      <c r="C2" s="70" t="s">
        <v>20</v>
      </c>
      <c r="D2" s="70" t="s">
        <v>30</v>
      </c>
    </row>
    <row r="3" spans="1:5">
      <c r="A3" s="45" t="str">
        <f>B3&amp;"-"&amp;C3</f>
        <v xml:space="preserve">Conservador-PAPEL </v>
      </c>
      <c r="B3" s="45" t="s">
        <v>31</v>
      </c>
      <c r="C3" s="45" t="s">
        <v>23</v>
      </c>
      <c r="D3" s="47">
        <v>0.3</v>
      </c>
    </row>
    <row r="4" spans="1:5">
      <c r="A4" s="45" t="str">
        <f t="shared" ref="A4:A20" si="0">B4&amp;"-"&amp;C4</f>
        <v>Conservador-TIJOLO</v>
      </c>
      <c r="B4" s="45" t="s">
        <v>31</v>
      </c>
      <c r="C4" s="45" t="s">
        <v>24</v>
      </c>
      <c r="D4" s="47">
        <v>0.5</v>
      </c>
    </row>
    <row r="5" spans="1:5">
      <c r="A5" s="45" t="str">
        <f t="shared" si="0"/>
        <v>Conservador-HÍBRIDOS</v>
      </c>
      <c r="B5" s="45" t="s">
        <v>31</v>
      </c>
      <c r="C5" s="45" t="s">
        <v>25</v>
      </c>
      <c r="D5" s="47">
        <v>0.1</v>
      </c>
    </row>
    <row r="6" spans="1:5">
      <c r="A6" s="45" t="str">
        <f t="shared" si="0"/>
        <v>Conservador-FOFs</v>
      </c>
      <c r="B6" s="45" t="s">
        <v>31</v>
      </c>
      <c r="C6" s="45" t="s">
        <v>26</v>
      </c>
      <c r="D6" s="47">
        <v>0.1</v>
      </c>
    </row>
    <row r="7" spans="1:5">
      <c r="A7" s="45" t="str">
        <f t="shared" si="0"/>
        <v>Conservador-DESENVOLVIMENTO</v>
      </c>
      <c r="B7" s="45" t="s">
        <v>31</v>
      </c>
      <c r="C7" s="45" t="s">
        <v>27</v>
      </c>
      <c r="D7" s="47">
        <v>0</v>
      </c>
    </row>
    <row r="8" spans="1:5">
      <c r="A8" s="53" t="str">
        <f t="shared" si="0"/>
        <v>Conservador-HOTELARIAS</v>
      </c>
      <c r="B8" s="45" t="s">
        <v>31</v>
      </c>
      <c r="C8" s="45" t="s">
        <v>28</v>
      </c>
      <c r="D8" s="47">
        <v>0</v>
      </c>
      <c r="E8" s="51"/>
    </row>
    <row r="9" spans="1:5">
      <c r="A9" s="45" t="str">
        <f t="shared" si="0"/>
        <v xml:space="preserve">Moderado-PAPEL </v>
      </c>
      <c r="B9" s="50" t="s">
        <v>18</v>
      </c>
      <c r="C9" s="50" t="s">
        <v>23</v>
      </c>
      <c r="D9" s="54">
        <v>0.32</v>
      </c>
      <c r="E9" s="52"/>
    </row>
    <row r="10" spans="1:5">
      <c r="A10" s="45" t="str">
        <f t="shared" si="0"/>
        <v>Moderado-TIJOLO</v>
      </c>
      <c r="B10" s="45" t="s">
        <v>18</v>
      </c>
      <c r="C10" s="45" t="s">
        <v>24</v>
      </c>
      <c r="D10" s="47">
        <v>0.35</v>
      </c>
    </row>
    <row r="11" spans="1:5">
      <c r="A11" s="45" t="str">
        <f t="shared" si="0"/>
        <v>Moderado-HÍBRIDOS</v>
      </c>
      <c r="B11" s="45" t="s">
        <v>18</v>
      </c>
      <c r="C11" s="45" t="s">
        <v>25</v>
      </c>
      <c r="D11" s="47">
        <v>0.08</v>
      </c>
    </row>
    <row r="12" spans="1:5">
      <c r="A12" s="45" t="str">
        <f t="shared" si="0"/>
        <v>Moderado-FOFs</v>
      </c>
      <c r="B12" s="45" t="s">
        <v>18</v>
      </c>
      <c r="C12" s="45" t="s">
        <v>26</v>
      </c>
      <c r="D12" s="47">
        <v>0.05</v>
      </c>
    </row>
    <row r="13" spans="1:5">
      <c r="A13" s="45" t="str">
        <f t="shared" si="0"/>
        <v>Moderado-DESENVOLVIMENTO</v>
      </c>
      <c r="B13" s="45" t="s">
        <v>18</v>
      </c>
      <c r="C13" s="45" t="s">
        <v>27</v>
      </c>
      <c r="D13" s="47">
        <v>0.1</v>
      </c>
    </row>
    <row r="14" spans="1:5">
      <c r="A14" s="53" t="str">
        <f t="shared" si="0"/>
        <v>Moderado-HOTELARIAS</v>
      </c>
      <c r="B14" s="45" t="s">
        <v>18</v>
      </c>
      <c r="C14" s="45" t="s">
        <v>28</v>
      </c>
      <c r="D14" s="47">
        <v>0.1</v>
      </c>
    </row>
    <row r="15" spans="1:5">
      <c r="A15" s="45" t="str">
        <f t="shared" si="0"/>
        <v xml:space="preserve">Agressivo-PAPEL </v>
      </c>
      <c r="B15" s="50" t="s">
        <v>32</v>
      </c>
      <c r="C15" s="50" t="s">
        <v>23</v>
      </c>
      <c r="D15" s="54">
        <v>0.5</v>
      </c>
    </row>
    <row r="16" spans="1:5">
      <c r="A16" s="45" t="str">
        <f t="shared" si="0"/>
        <v>Agressivo-TIJOLO</v>
      </c>
      <c r="B16" s="45" t="s">
        <v>32</v>
      </c>
      <c r="C16" s="45" t="s">
        <v>24</v>
      </c>
      <c r="D16" s="47">
        <v>0.1</v>
      </c>
    </row>
    <row r="17" spans="1:4">
      <c r="A17" s="45" t="str">
        <f t="shared" si="0"/>
        <v>Agressivo-HÍBRIDOS</v>
      </c>
      <c r="B17" s="45" t="s">
        <v>32</v>
      </c>
      <c r="C17" s="45" t="s">
        <v>25</v>
      </c>
      <c r="D17" s="47">
        <v>0.05</v>
      </c>
    </row>
    <row r="18" spans="1:4">
      <c r="A18" s="45" t="str">
        <f t="shared" si="0"/>
        <v>Agressivo-FOFs</v>
      </c>
      <c r="B18" s="45" t="s">
        <v>32</v>
      </c>
      <c r="C18" s="45" t="s">
        <v>26</v>
      </c>
      <c r="D18" s="47">
        <v>0.05</v>
      </c>
    </row>
    <row r="19" spans="1:4">
      <c r="A19" s="45" t="str">
        <f t="shared" si="0"/>
        <v>Agressivo-DESENVOLVIMENTO</v>
      </c>
      <c r="B19" s="45" t="s">
        <v>32</v>
      </c>
      <c r="C19" s="45" t="s">
        <v>27</v>
      </c>
      <c r="D19" s="47">
        <v>0.2</v>
      </c>
    </row>
    <row r="20" spans="1:4">
      <c r="A20" s="45" t="str">
        <f t="shared" si="0"/>
        <v>Agressivo-HOTELARIAS</v>
      </c>
      <c r="B20" s="45" t="s">
        <v>32</v>
      </c>
      <c r="C20" s="45" t="s">
        <v>28</v>
      </c>
      <c r="D20" s="4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2026-09-08T15:01:04Z</dcterms:created>
  <dcterms:modified xsi:type="dcterms:W3CDTF">2026-09-09T16:23:59Z</dcterms:modified>
  <cp:category/>
  <cp:contentStatus/>
</cp:coreProperties>
</file>